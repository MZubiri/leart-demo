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i unidad\LEGO@ART\"/>
    </mc:Choice>
  </mc:AlternateContent>
  <xr:revisionPtr revIDLastSave="0" documentId="13_ncr:1_{EE4D2206-EA45-45ED-920A-9D67D81B776A}" xr6:coauthVersionLast="47" xr6:coauthVersionMax="47" xr10:uidLastSave="{00000000-0000-0000-0000-000000000000}"/>
  <bookViews>
    <workbookView xWindow="-120" yWindow="-120" windowWidth="20730" windowHeight="11160" activeTab="3" xr2:uid="{50B9B839-9D63-412D-A022-8A8B33A7C2A8}"/>
  </bookViews>
  <sheets>
    <sheet name="GENERAL" sheetId="2" r:id="rId1"/>
    <sheet name="PCUADROS" sheetId="1" r:id="rId2"/>
    <sheet name="CAJAS ACRILICAS" sheetId="5" r:id="rId3"/>
    <sheet name="SETS ARMABLES" sheetId="4" r:id="rId4"/>
    <sheet name="MINI MOMENTOS" sheetId="6" r:id="rId5"/>
    <sheet name="MINI BOX" sheetId="7" r:id="rId6"/>
    <sheet name="VARIOS" sheetId="8" r:id="rId7"/>
  </sheets>
  <definedNames>
    <definedName name="_xlnm._FilterDatabase" localSheetId="3" hidden="1">'SETS ARMABLES'!$A$5:$F$63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6" i="6" l="1"/>
  <c r="C12" i="6"/>
  <c r="C8" i="6"/>
  <c r="B17" i="1"/>
  <c r="C17" i="1" s="1"/>
  <c r="C18" i="1" s="1"/>
  <c r="D11" i="5"/>
  <c r="D9" i="5"/>
  <c r="D10" i="5" s="1"/>
  <c r="C16" i="1"/>
  <c r="D17" i="1" l="1"/>
  <c r="C19" i="1"/>
  <c r="C20" i="1" s="1"/>
  <c r="D20" i="1" s="1"/>
  <c r="D21" i="1" s="1"/>
  <c r="D22" i="1" s="1"/>
  <c r="D23" i="1" s="1"/>
  <c r="D24" i="1" s="1"/>
  <c r="D18" i="1"/>
  <c r="D19" i="1" l="1"/>
</calcChain>
</file>

<file path=xl/sharedStrings.xml><?xml version="1.0" encoding="utf-8"?>
<sst xmlns="http://schemas.openxmlformats.org/spreadsheetml/2006/main" count="268" uniqueCount="176">
  <si>
    <t>CUADROS</t>
  </si>
  <si>
    <t>Talla S</t>
  </si>
  <si>
    <t>Talla M</t>
  </si>
  <si>
    <t>Talla L</t>
  </si>
  <si>
    <t>Mascota</t>
  </si>
  <si>
    <t>CATEGORIAS</t>
  </si>
  <si>
    <t>Cuadros</t>
  </si>
  <si>
    <t>Cajas Acrilicas</t>
  </si>
  <si>
    <t>Sets Armables</t>
  </si>
  <si>
    <t>Mini momentos</t>
  </si>
  <si>
    <t>Mini Box</t>
  </si>
  <si>
    <t>Llaveros</t>
  </si>
  <si>
    <t>Minimags</t>
  </si>
  <si>
    <t>Portallaveros</t>
  </si>
  <si>
    <t>Minifiguras Indiduales</t>
  </si>
  <si>
    <t>Proceso Compra</t>
  </si>
  <si>
    <t>Asi hacemos tu pedido</t>
  </si>
  <si>
    <t>1. En que consiste la personalización</t>
  </si>
  <si>
    <t>2. Cuanto tarda un pedido</t>
  </si>
  <si>
    <t>3. Realizan Envios</t>
  </si>
  <si>
    <t>Preguntas Frecuentes</t>
  </si>
  <si>
    <t>S</t>
  </si>
  <si>
    <t>M</t>
  </si>
  <si>
    <t>L</t>
  </si>
  <si>
    <t>Minifiguras</t>
  </si>
  <si>
    <t>N/A</t>
  </si>
  <si>
    <t>Bebe</t>
  </si>
  <si>
    <t>VARIABLES</t>
  </si>
  <si>
    <t>Tamaño</t>
  </si>
  <si>
    <t>CODIGO</t>
  </si>
  <si>
    <t>NOMBRE</t>
  </si>
  <si>
    <t>MOC0049</t>
  </si>
  <si>
    <t>Altar enomarados</t>
  </si>
  <si>
    <t>Amor Rodante</t>
  </si>
  <si>
    <t>CN00133-A</t>
  </si>
  <si>
    <t>Arbol Sakura</t>
  </si>
  <si>
    <t>MOC4034</t>
  </si>
  <si>
    <t>Barbacoa</t>
  </si>
  <si>
    <t>8974-4</t>
  </si>
  <si>
    <t>Barbería</t>
  </si>
  <si>
    <t>MOC4091</t>
  </si>
  <si>
    <t>Bateria</t>
  </si>
  <si>
    <t>B10-74</t>
  </si>
  <si>
    <t>BBC</t>
  </si>
  <si>
    <t>B21-44-2</t>
  </si>
  <si>
    <t>Buena Vibra</t>
  </si>
  <si>
    <t>Camping</t>
  </si>
  <si>
    <t>MOC4081-A</t>
  </si>
  <si>
    <t>Cancha Basquet</t>
  </si>
  <si>
    <t>LEA-0001</t>
  </si>
  <si>
    <t>Cancha Futbol</t>
  </si>
  <si>
    <t>Cascada Tropical</t>
  </si>
  <si>
    <t>MOC0017-A</t>
  </si>
  <si>
    <t>Cita bajo el Farol</t>
  </si>
  <si>
    <t>Cita en el Cafe</t>
  </si>
  <si>
    <t>LEA-0004</t>
  </si>
  <si>
    <t>Cita en el HotDog</t>
  </si>
  <si>
    <t>99P-ZZ</t>
  </si>
  <si>
    <t>Cita en Otoño</t>
  </si>
  <si>
    <t>CFLS002</t>
  </si>
  <si>
    <t>Cita entre Flores</t>
  </si>
  <si>
    <t>MOC4145</t>
  </si>
  <si>
    <t>COLUMPIO</t>
  </si>
  <si>
    <t>K96280</t>
  </si>
  <si>
    <t>Copa Mundial</t>
  </si>
  <si>
    <t>MOC169562</t>
  </si>
  <si>
    <t>Corazón Latente</t>
  </si>
  <si>
    <t>LEA-0006</t>
  </si>
  <si>
    <t>Escapada Natural</t>
  </si>
  <si>
    <t>Escritorio Gamer</t>
  </si>
  <si>
    <t>Fitness</t>
  </si>
  <si>
    <t>LEA-0002</t>
  </si>
  <si>
    <t>Fogata de Recuerdos</t>
  </si>
  <si>
    <t>Jardin Secreto</t>
  </si>
  <si>
    <t>LEA-0003</t>
  </si>
  <si>
    <t>Lover's Bridge</t>
  </si>
  <si>
    <t>MPA001</t>
  </si>
  <si>
    <t>Mini Parque</t>
  </si>
  <si>
    <t>Minibillar</t>
  </si>
  <si>
    <t>Modo Aventura</t>
  </si>
  <si>
    <t>Modo Velocidad</t>
  </si>
  <si>
    <t>MOC-103498</t>
  </si>
  <si>
    <t>Motocicleta</t>
  </si>
  <si>
    <t>Navegando Juntos</t>
  </si>
  <si>
    <t>Parque de los Novios</t>
  </si>
  <si>
    <t>Parque Diversiones</t>
  </si>
  <si>
    <t>MOC0009</t>
  </si>
  <si>
    <t>Piano</t>
  </si>
  <si>
    <t>Pisciencanto</t>
  </si>
  <si>
    <t>Rayo Azul</t>
  </si>
  <si>
    <t>Rayo Blanco</t>
  </si>
  <si>
    <t>Rayo Rojo</t>
  </si>
  <si>
    <t>Rincon del Lago</t>
  </si>
  <si>
    <t>MOC4085</t>
  </si>
  <si>
    <t>Sala Juntas</t>
  </si>
  <si>
    <t>Sala Premium</t>
  </si>
  <si>
    <t>MOC0021-P</t>
  </si>
  <si>
    <t>Salita familiar</t>
  </si>
  <si>
    <t>T18741</t>
  </si>
  <si>
    <t>Semillas de Amor</t>
  </si>
  <si>
    <t>Set Astronauta</t>
  </si>
  <si>
    <t>DK7025</t>
  </si>
  <si>
    <t>Set Casita UP</t>
  </si>
  <si>
    <t>Set Cocina</t>
  </si>
  <si>
    <t>Set Consultorio</t>
  </si>
  <si>
    <t>D610001</t>
  </si>
  <si>
    <t>Set Dentista</t>
  </si>
  <si>
    <t>Set Estudio Arte</t>
  </si>
  <si>
    <t>Set Fotografía</t>
  </si>
  <si>
    <t>Set Laboratorio</t>
  </si>
  <si>
    <t>Set Mini Carreras</t>
  </si>
  <si>
    <t>Set Musico</t>
  </si>
  <si>
    <t>LEA-0005</t>
  </si>
  <si>
    <t>Sky Line NW</t>
  </si>
  <si>
    <t>FRE-232806</t>
  </si>
  <si>
    <t>Taller de papá</t>
  </si>
  <si>
    <t>MOC4098</t>
  </si>
  <si>
    <t>Vaiven del Amor</t>
  </si>
  <si>
    <t>MOC0030-A</t>
  </si>
  <si>
    <t>Work Space</t>
  </si>
  <si>
    <t>CATEGORIA</t>
  </si>
  <si>
    <t>SET</t>
  </si>
  <si>
    <t>MINIBOX</t>
  </si>
  <si>
    <t>1 MINIFIGURA</t>
  </si>
  <si>
    <t>2 
MINIFIGURAS</t>
  </si>
  <si>
    <t>Jugadores</t>
  </si>
  <si>
    <t>Personalizados</t>
  </si>
  <si>
    <t>Personajes</t>
  </si>
  <si>
    <t>TIPO</t>
  </si>
  <si>
    <t>GRUPO</t>
  </si>
  <si>
    <t>INACTIVO</t>
  </si>
  <si>
    <t>Casita UP</t>
  </si>
  <si>
    <t>Caja Sencilla</t>
  </si>
  <si>
    <t>Caja Doble</t>
  </si>
  <si>
    <t>Valor</t>
  </si>
  <si>
    <t>1 + Moto</t>
  </si>
  <si>
    <t>Mascotas
Maximo</t>
  </si>
  <si>
    <t>Incluye</t>
  </si>
  <si>
    <t>Adicionales</t>
  </si>
  <si>
    <t>Ladrillo Nombre</t>
  </si>
  <si>
    <t>Pared Universidad o Empresa</t>
  </si>
  <si>
    <t>Accesorios</t>
  </si>
  <si>
    <t>&gt; 3 MINIF</t>
  </si>
  <si>
    <t>Adicionals</t>
  </si>
  <si>
    <t>Minifigura</t>
  </si>
  <si>
    <t>Maximo Minig con Mascota</t>
  </si>
  <si>
    <t>Según Catalogo</t>
  </si>
  <si>
    <t>2 + Moto</t>
  </si>
  <si>
    <t>Moto</t>
  </si>
  <si>
    <t>Maximo</t>
  </si>
  <si>
    <t>Según catalog</t>
  </si>
  <si>
    <t>1. Piezas tipo lego + luz</t>
  </si>
  <si>
    <r>
      <t xml:space="preserve"> </t>
    </r>
    <r>
      <rPr>
        <b/>
        <sz val="14"/>
        <color theme="1"/>
        <rFont val="Calibri"/>
        <family val="2"/>
        <scheme val="minor"/>
      </rPr>
      <t>2. Piezas tipo lego sin luz</t>
    </r>
  </si>
  <si>
    <r>
      <t xml:space="preserve"> </t>
    </r>
    <r>
      <rPr>
        <b/>
        <sz val="14"/>
        <color theme="1"/>
        <rFont val="Calibri"/>
        <family val="2"/>
        <scheme val="minor"/>
      </rPr>
      <t>3. Piezas mini armables</t>
    </r>
  </si>
  <si>
    <t>Mini Momento</t>
  </si>
  <si>
    <t>1. Minifigura</t>
  </si>
  <si>
    <t>2 Minifiguras</t>
  </si>
  <si>
    <t>NUEVO</t>
  </si>
  <si>
    <t>Taller de Herramientas</t>
  </si>
  <si>
    <t>Mini Fitness</t>
  </si>
  <si>
    <t>Mini DJ</t>
  </si>
  <si>
    <t>✨ Incluye:</t>
  </si>
  <si>
    <t>🧰 Caja acrílica</t>
  </si>
  <si>
    <t>🧸 1 accesorio del catálogo Grupo 1</t>
  </si>
  <si>
    <t>🎨 Fondo temático prediseñado</t>
  </si>
  <si>
    <t>➕ ¿Quieres hacerlo aún más especial?</t>
  </si>
  <si>
    <t>🎨 Fondo personalizado: $8.000 adicionales</t>
  </si>
  <si>
    <t>🎨 Fondo temático a elección (puedes agregar frase o idea)</t>
  </si>
  <si>
    <t>20 x 15</t>
  </si>
  <si>
    <t>27 x 22</t>
  </si>
  <si>
    <t>32 x23</t>
  </si>
  <si>
    <t>🖼️ Cuadro talla S o M o L</t>
  </si>
  <si>
    <t>👕 minifiguras tipo brick personalizadas (cabello, rostro y outfit según disponibilidad)</t>
  </si>
  <si>
    <t>🐾 1 mascota genérica 🐶🐱 con rasgos destacados</t>
  </si>
  <si>
    <t>👶🏻 1 bebé estándar (rosado, azul, salmón o verde)</t>
  </si>
  <si>
    <t>📦 Empaque con diseño regalo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</si>
</sst>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0"/>
      <color theme="1"/>
      <name val="Arial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3" fontId="0" fillId="0" borderId="0" xfId="0" applyNumberFormat="1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3" fontId="2" fillId="2" borderId="0" xfId="0" applyNumberFormat="1" applyFont="1" applyFill="1" applyAlignment="1">
      <alignment horizontal="center" wrapText="1"/>
    </xf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  <xf numFmtId="3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wrapText="1"/>
    </xf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6A4EB-3912-45E5-88A7-4DB47E34491B}">
  <dimension ref="A1:B26"/>
  <sheetViews>
    <sheetView workbookViewId="0">
      <selection activeCell="C3" sqref="C3"/>
    </sheetView>
  </sheetViews>
  <sheetFormatPr baseColWidth="10" defaultRowHeight="15" x14ac:dyDescent="0.25"/>
  <cols>
    <col min="1" max="1" width="33.5703125" bestFit="1" customWidth="1"/>
    <col min="2" max="2" width="20.85546875" bestFit="1" customWidth="1"/>
    <col min="3" max="3" width="16.5703125" bestFit="1" customWidth="1"/>
  </cols>
  <sheetData>
    <row r="1" spans="1:2" x14ac:dyDescent="0.25">
      <c r="A1" s="4" t="s">
        <v>5</v>
      </c>
      <c r="B1" s="4" t="s">
        <v>128</v>
      </c>
    </row>
    <row r="2" spans="1:2" x14ac:dyDescent="0.25">
      <c r="A2" t="s">
        <v>126</v>
      </c>
      <c r="B2" t="s">
        <v>6</v>
      </c>
    </row>
    <row r="3" spans="1:2" x14ac:dyDescent="0.25">
      <c r="B3" t="s">
        <v>7</v>
      </c>
    </row>
    <row r="4" spans="1:2" x14ac:dyDescent="0.25">
      <c r="B4" t="s">
        <v>8</v>
      </c>
    </row>
    <row r="5" spans="1:2" x14ac:dyDescent="0.25">
      <c r="B5" t="s">
        <v>9</v>
      </c>
    </row>
    <row r="6" spans="1:2" x14ac:dyDescent="0.25">
      <c r="B6" t="s">
        <v>10</v>
      </c>
    </row>
    <row r="7" spans="1:2" x14ac:dyDescent="0.25">
      <c r="B7" t="s">
        <v>11</v>
      </c>
    </row>
    <row r="8" spans="1:2" x14ac:dyDescent="0.25">
      <c r="B8" t="s">
        <v>12</v>
      </c>
    </row>
    <row r="9" spans="1:2" x14ac:dyDescent="0.25">
      <c r="B9" t="s">
        <v>13</v>
      </c>
    </row>
    <row r="10" spans="1:2" x14ac:dyDescent="0.25">
      <c r="B10" t="s">
        <v>14</v>
      </c>
    </row>
    <row r="11" spans="1:2" x14ac:dyDescent="0.25">
      <c r="A11" t="s">
        <v>125</v>
      </c>
      <c r="B11" t="s">
        <v>6</v>
      </c>
    </row>
    <row r="12" spans="1:2" x14ac:dyDescent="0.25">
      <c r="B12" t="s">
        <v>7</v>
      </c>
    </row>
    <row r="13" spans="1:2" x14ac:dyDescent="0.25">
      <c r="B13" t="s">
        <v>11</v>
      </c>
    </row>
    <row r="14" spans="1:2" x14ac:dyDescent="0.25">
      <c r="A14" t="s">
        <v>127</v>
      </c>
      <c r="B14" t="s">
        <v>6</v>
      </c>
    </row>
    <row r="15" spans="1:2" x14ac:dyDescent="0.25">
      <c r="B15" t="s">
        <v>7</v>
      </c>
    </row>
    <row r="16" spans="1:2" x14ac:dyDescent="0.25">
      <c r="B16" t="s">
        <v>11</v>
      </c>
    </row>
    <row r="20" spans="1:2" x14ac:dyDescent="0.25">
      <c r="A20" t="s">
        <v>15</v>
      </c>
      <c r="B20" t="s">
        <v>16</v>
      </c>
    </row>
    <row r="22" spans="1:2" x14ac:dyDescent="0.25">
      <c r="A22" t="s">
        <v>20</v>
      </c>
    </row>
    <row r="24" spans="1:2" x14ac:dyDescent="0.25">
      <c r="A24" t="s">
        <v>17</v>
      </c>
    </row>
    <row r="25" spans="1:2" x14ac:dyDescent="0.25">
      <c r="A25" t="s">
        <v>18</v>
      </c>
    </row>
    <row r="26" spans="1:2" x14ac:dyDescent="0.25">
      <c r="A26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C80E9-1850-4A71-A97A-2EFE4079FA65}">
  <dimension ref="A1:G33"/>
  <sheetViews>
    <sheetView topLeftCell="A16" workbookViewId="0">
      <selection activeCell="A34" sqref="A34"/>
    </sheetView>
  </sheetViews>
  <sheetFormatPr baseColWidth="10" defaultRowHeight="15" x14ac:dyDescent="0.25"/>
  <cols>
    <col min="1" max="1" width="28.5703125" bestFit="1" customWidth="1"/>
    <col min="2" max="2" width="13" bestFit="1" customWidth="1"/>
    <col min="3" max="3" width="16.42578125" customWidth="1"/>
    <col min="4" max="4" width="14.7109375" style="1" customWidth="1"/>
    <col min="5" max="5" width="19.85546875" style="1" bestFit="1" customWidth="1"/>
    <col min="6" max="6" width="19" customWidth="1"/>
  </cols>
  <sheetData>
    <row r="1" spans="1:7" x14ac:dyDescent="0.25">
      <c r="A1" s="4" t="s">
        <v>0</v>
      </c>
    </row>
    <row r="2" spans="1:7" x14ac:dyDescent="0.25">
      <c r="A2" s="2"/>
      <c r="B2" s="2"/>
      <c r="C2" s="2"/>
      <c r="D2" s="3"/>
      <c r="E2" s="3"/>
    </row>
    <row r="3" spans="1:7" x14ac:dyDescent="0.25">
      <c r="A3" s="4" t="s">
        <v>27</v>
      </c>
      <c r="B3" s="2" t="s">
        <v>28</v>
      </c>
      <c r="C3" s="2" t="s">
        <v>145</v>
      </c>
      <c r="D3" s="3"/>
    </row>
    <row r="4" spans="1:7" x14ac:dyDescent="0.25">
      <c r="B4" s="2" t="s">
        <v>21</v>
      </c>
      <c r="C4" s="2">
        <v>3</v>
      </c>
      <c r="D4" s="2"/>
    </row>
    <row r="5" spans="1:7" x14ac:dyDescent="0.25">
      <c r="B5" s="2" t="s">
        <v>22</v>
      </c>
      <c r="C5" s="2">
        <v>6</v>
      </c>
      <c r="G5" s="1"/>
    </row>
    <row r="6" spans="1:7" x14ac:dyDescent="0.25">
      <c r="B6" s="2" t="s">
        <v>23</v>
      </c>
      <c r="C6" s="2">
        <v>10</v>
      </c>
      <c r="G6" s="1"/>
    </row>
    <row r="7" spans="1:7" x14ac:dyDescent="0.25">
      <c r="A7" s="2"/>
      <c r="B7" s="2"/>
      <c r="G7" s="1"/>
    </row>
    <row r="8" spans="1:7" x14ac:dyDescent="0.25">
      <c r="A8" s="9" t="s">
        <v>4</v>
      </c>
      <c r="B8" s="10">
        <v>15000</v>
      </c>
      <c r="G8" s="1"/>
    </row>
    <row r="9" spans="1:7" x14ac:dyDescent="0.25">
      <c r="A9" s="9" t="s">
        <v>26</v>
      </c>
      <c r="B9" s="10">
        <v>14000</v>
      </c>
      <c r="G9" s="1"/>
    </row>
    <row r="10" spans="1:7" x14ac:dyDescent="0.25">
      <c r="B10" s="1"/>
      <c r="G10" s="1"/>
    </row>
    <row r="11" spans="1:7" x14ac:dyDescent="0.25">
      <c r="A11" t="s">
        <v>138</v>
      </c>
      <c r="B11" s="1" t="s">
        <v>141</v>
      </c>
      <c r="G11" s="1"/>
    </row>
    <row r="12" spans="1:7" x14ac:dyDescent="0.25">
      <c r="C12">
        <v>14000</v>
      </c>
      <c r="D12" s="1">
        <v>30000</v>
      </c>
      <c r="G12" s="1"/>
    </row>
    <row r="13" spans="1:7" x14ac:dyDescent="0.25">
      <c r="B13" t="s">
        <v>168</v>
      </c>
      <c r="C13" t="s">
        <v>169</v>
      </c>
      <c r="D13" s="1" t="s">
        <v>170</v>
      </c>
      <c r="G13" s="1"/>
    </row>
    <row r="14" spans="1:7" x14ac:dyDescent="0.25">
      <c r="A14" s="2" t="s">
        <v>24</v>
      </c>
      <c r="B14" s="2" t="s">
        <v>1</v>
      </c>
      <c r="C14" s="3" t="s">
        <v>2</v>
      </c>
      <c r="D14" s="3" t="s">
        <v>3</v>
      </c>
    </row>
    <row r="15" spans="1:7" x14ac:dyDescent="0.25">
      <c r="A15">
        <v>1</v>
      </c>
      <c r="B15" s="1">
        <v>96000</v>
      </c>
    </row>
    <row r="16" spans="1:7" x14ac:dyDescent="0.25">
      <c r="A16">
        <v>2</v>
      </c>
      <c r="B16" s="1">
        <v>124000</v>
      </c>
      <c r="C16" s="1">
        <f>B16+14000</f>
        <v>138000</v>
      </c>
      <c r="F16" s="1"/>
    </row>
    <row r="17" spans="1:4" x14ac:dyDescent="0.25">
      <c r="A17">
        <v>3</v>
      </c>
      <c r="B17" s="1">
        <f>B16+22000</f>
        <v>146000</v>
      </c>
      <c r="C17" s="1">
        <f>B17+C12</f>
        <v>160000</v>
      </c>
      <c r="D17" s="1">
        <f>C17+30000</f>
        <v>190000</v>
      </c>
    </row>
    <row r="18" spans="1:4" x14ac:dyDescent="0.25">
      <c r="A18">
        <v>4</v>
      </c>
      <c r="B18" s="3" t="s">
        <v>25</v>
      </c>
      <c r="C18" s="1">
        <f>C17+20000</f>
        <v>180000</v>
      </c>
      <c r="D18" s="1">
        <f>C18+30000</f>
        <v>210000</v>
      </c>
    </row>
    <row r="19" spans="1:4" x14ac:dyDescent="0.25">
      <c r="A19">
        <v>5</v>
      </c>
      <c r="B19" s="3" t="s">
        <v>25</v>
      </c>
      <c r="C19" s="1">
        <f>C18+20000</f>
        <v>200000</v>
      </c>
      <c r="D19" s="1">
        <f>C19+30000</f>
        <v>230000</v>
      </c>
    </row>
    <row r="20" spans="1:4" x14ac:dyDescent="0.25">
      <c r="A20">
        <v>6</v>
      </c>
      <c r="B20" s="3" t="s">
        <v>25</v>
      </c>
      <c r="C20" s="1">
        <f>C19+20000</f>
        <v>220000</v>
      </c>
      <c r="D20" s="1">
        <f>C20+30000</f>
        <v>250000</v>
      </c>
    </row>
    <row r="21" spans="1:4" x14ac:dyDescent="0.25">
      <c r="A21">
        <v>7</v>
      </c>
      <c r="B21" s="3" t="s">
        <v>25</v>
      </c>
      <c r="C21" s="3" t="s">
        <v>25</v>
      </c>
      <c r="D21" s="1">
        <f>D20+20000</f>
        <v>270000</v>
      </c>
    </row>
    <row r="22" spans="1:4" x14ac:dyDescent="0.25">
      <c r="A22">
        <v>8</v>
      </c>
      <c r="B22" s="3" t="s">
        <v>25</v>
      </c>
      <c r="C22" s="3" t="s">
        <v>25</v>
      </c>
      <c r="D22" s="1">
        <f t="shared" ref="D22:D24" si="0">D21+20000</f>
        <v>290000</v>
      </c>
    </row>
    <row r="23" spans="1:4" x14ac:dyDescent="0.25">
      <c r="A23">
        <v>9</v>
      </c>
      <c r="B23" s="3" t="s">
        <v>25</v>
      </c>
      <c r="C23" s="3" t="s">
        <v>25</v>
      </c>
      <c r="D23" s="1">
        <f t="shared" si="0"/>
        <v>310000</v>
      </c>
    </row>
    <row r="24" spans="1:4" x14ac:dyDescent="0.25">
      <c r="A24">
        <v>10</v>
      </c>
      <c r="B24" s="3" t="s">
        <v>25</v>
      </c>
      <c r="C24" s="3" t="s">
        <v>25</v>
      </c>
      <c r="D24" s="1">
        <f t="shared" si="0"/>
        <v>330000</v>
      </c>
    </row>
    <row r="27" spans="1:4" x14ac:dyDescent="0.25">
      <c r="A27" t="s">
        <v>137</v>
      </c>
    </row>
    <row r="28" spans="1:4" x14ac:dyDescent="0.25">
      <c r="A28" t="s">
        <v>171</v>
      </c>
    </row>
    <row r="29" spans="1:4" x14ac:dyDescent="0.25">
      <c r="A29" t="s">
        <v>172</v>
      </c>
    </row>
    <row r="30" spans="1:4" x14ac:dyDescent="0.25">
      <c r="A30" t="s">
        <v>173</v>
      </c>
    </row>
    <row r="31" spans="1:4" x14ac:dyDescent="0.25">
      <c r="A31" t="s">
        <v>174</v>
      </c>
    </row>
    <row r="32" spans="1:4" x14ac:dyDescent="0.25">
      <c r="A32" t="s">
        <v>167</v>
      </c>
    </row>
    <row r="33" spans="1:1" x14ac:dyDescent="0.25">
      <c r="A33" t="s">
        <v>175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F2BA7-B78B-4F0B-BBF7-86952413BE79}">
  <dimension ref="A1:E27"/>
  <sheetViews>
    <sheetView topLeftCell="A10" workbookViewId="0">
      <selection activeCell="A24" sqref="A24"/>
    </sheetView>
  </sheetViews>
  <sheetFormatPr baseColWidth="10" defaultRowHeight="15" x14ac:dyDescent="0.25"/>
  <cols>
    <col min="1" max="1" width="27.140625" bestFit="1" customWidth="1"/>
    <col min="3" max="3" width="11.42578125" style="1"/>
  </cols>
  <sheetData>
    <row r="1" spans="1:5" x14ac:dyDescent="0.25">
      <c r="A1" t="s">
        <v>137</v>
      </c>
    </row>
    <row r="3" spans="1:5" x14ac:dyDescent="0.25">
      <c r="A3" t="s">
        <v>4</v>
      </c>
      <c r="B3">
        <v>15000</v>
      </c>
    </row>
    <row r="4" spans="1:5" x14ac:dyDescent="0.25">
      <c r="A4" t="s">
        <v>141</v>
      </c>
      <c r="B4" t="s">
        <v>146</v>
      </c>
    </row>
    <row r="5" spans="1:5" ht="30" x14ac:dyDescent="0.25">
      <c r="B5" s="4" t="s">
        <v>24</v>
      </c>
      <c r="C5" s="12" t="s">
        <v>136</v>
      </c>
      <c r="D5" s="11" t="s">
        <v>134</v>
      </c>
    </row>
    <row r="6" spans="1:5" x14ac:dyDescent="0.25">
      <c r="A6" t="s">
        <v>132</v>
      </c>
      <c r="B6">
        <v>1</v>
      </c>
      <c r="C6">
        <v>1</v>
      </c>
      <c r="D6" s="1">
        <v>60000</v>
      </c>
    </row>
    <row r="7" spans="1:5" x14ac:dyDescent="0.25">
      <c r="A7" t="s">
        <v>133</v>
      </c>
      <c r="B7">
        <v>1</v>
      </c>
      <c r="C7">
        <v>4</v>
      </c>
      <c r="D7" s="1">
        <v>70000</v>
      </c>
    </row>
    <row r="8" spans="1:5" x14ac:dyDescent="0.25">
      <c r="A8" t="s">
        <v>133</v>
      </c>
      <c r="B8">
        <v>2</v>
      </c>
      <c r="C8">
        <v>3</v>
      </c>
      <c r="D8" s="1">
        <v>90000</v>
      </c>
    </row>
    <row r="9" spans="1:5" x14ac:dyDescent="0.25">
      <c r="A9" t="s">
        <v>133</v>
      </c>
      <c r="B9">
        <v>3</v>
      </c>
      <c r="C9">
        <v>1</v>
      </c>
      <c r="D9" s="1">
        <f>D8+24000</f>
        <v>114000</v>
      </c>
      <c r="E9" s="1"/>
    </row>
    <row r="10" spans="1:5" x14ac:dyDescent="0.25">
      <c r="A10" t="s">
        <v>133</v>
      </c>
      <c r="B10">
        <v>4</v>
      </c>
      <c r="C10">
        <v>0</v>
      </c>
      <c r="D10" s="1">
        <f>D9+24000</f>
        <v>138000</v>
      </c>
    </row>
    <row r="11" spans="1:5" x14ac:dyDescent="0.25">
      <c r="A11" t="s">
        <v>133</v>
      </c>
      <c r="B11" s="2" t="s">
        <v>135</v>
      </c>
      <c r="D11" s="1">
        <f>70000+18000</f>
        <v>88000</v>
      </c>
    </row>
    <row r="12" spans="1:5" x14ac:dyDescent="0.25">
      <c r="A12" t="s">
        <v>133</v>
      </c>
      <c r="B12" s="2" t="s">
        <v>147</v>
      </c>
      <c r="D12" s="1">
        <v>106000</v>
      </c>
      <c r="E12" t="s">
        <v>149</v>
      </c>
    </row>
    <row r="14" spans="1:5" x14ac:dyDescent="0.25">
      <c r="A14" t="s">
        <v>138</v>
      </c>
    </row>
    <row r="15" spans="1:5" x14ac:dyDescent="0.25">
      <c r="A15" t="s">
        <v>148</v>
      </c>
      <c r="B15">
        <v>18000</v>
      </c>
    </row>
    <row r="16" spans="1:5" x14ac:dyDescent="0.25">
      <c r="A16" t="s">
        <v>139</v>
      </c>
      <c r="B16">
        <v>8000</v>
      </c>
    </row>
    <row r="17" spans="1:2" x14ac:dyDescent="0.25">
      <c r="A17" t="s">
        <v>140</v>
      </c>
      <c r="B17">
        <v>18000</v>
      </c>
    </row>
    <row r="18" spans="1:2" x14ac:dyDescent="0.25">
      <c r="A18" t="s">
        <v>141</v>
      </c>
      <c r="B18" t="s">
        <v>146</v>
      </c>
    </row>
    <row r="21" spans="1:2" x14ac:dyDescent="0.25">
      <c r="A21" t="s">
        <v>161</v>
      </c>
    </row>
    <row r="22" spans="1:2" x14ac:dyDescent="0.25">
      <c r="A22" t="s">
        <v>162</v>
      </c>
    </row>
    <row r="23" spans="1:2" x14ac:dyDescent="0.25">
      <c r="A23" t="s">
        <v>163</v>
      </c>
    </row>
    <row r="24" spans="1:2" x14ac:dyDescent="0.25">
      <c r="A24" t="s">
        <v>164</v>
      </c>
    </row>
    <row r="26" spans="1:2" x14ac:dyDescent="0.25">
      <c r="A26" t="s">
        <v>165</v>
      </c>
    </row>
    <row r="27" spans="1:2" x14ac:dyDescent="0.25">
      <c r="A27" t="s">
        <v>166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BEBD4-A955-4D69-8776-49937324339E}">
  <dimension ref="A1:H66"/>
  <sheetViews>
    <sheetView tabSelected="1" topLeftCell="A58" workbookViewId="0">
      <selection activeCell="A67" sqref="A67"/>
    </sheetView>
  </sheetViews>
  <sheetFormatPr baseColWidth="10" defaultRowHeight="15" x14ac:dyDescent="0.25"/>
  <cols>
    <col min="2" max="2" width="19.28515625" customWidth="1"/>
    <col min="3" max="3" width="29.140625" customWidth="1"/>
    <col min="4" max="4" width="19.5703125" customWidth="1"/>
    <col min="5" max="5" width="16.28515625" style="1" customWidth="1"/>
    <col min="6" max="6" width="15.85546875" style="1" customWidth="1"/>
    <col min="7" max="7" width="11.42578125" style="1"/>
  </cols>
  <sheetData>
    <row r="1" spans="1:7" x14ac:dyDescent="0.25">
      <c r="A1" t="s">
        <v>143</v>
      </c>
      <c r="B1" t="s">
        <v>4</v>
      </c>
      <c r="C1">
        <v>15000</v>
      </c>
    </row>
    <row r="2" spans="1:7" x14ac:dyDescent="0.25">
      <c r="B2" t="s">
        <v>144</v>
      </c>
      <c r="C2">
        <v>24000</v>
      </c>
    </row>
    <row r="3" spans="1:7" x14ac:dyDescent="0.25">
      <c r="B3" t="s">
        <v>141</v>
      </c>
      <c r="C3" t="s">
        <v>150</v>
      </c>
    </row>
    <row r="5" spans="1:7" ht="30" x14ac:dyDescent="0.25">
      <c r="A5" s="5" t="s">
        <v>129</v>
      </c>
      <c r="B5" s="5" t="s">
        <v>120</v>
      </c>
      <c r="C5" s="5" t="s">
        <v>29</v>
      </c>
      <c r="D5" s="5" t="s">
        <v>30</v>
      </c>
      <c r="E5" s="8" t="s">
        <v>123</v>
      </c>
      <c r="F5" s="8" t="s">
        <v>124</v>
      </c>
      <c r="G5" s="8" t="s">
        <v>142</v>
      </c>
    </row>
    <row r="6" spans="1:7" ht="26.25" x14ac:dyDescent="0.25">
      <c r="A6" s="6">
        <v>1</v>
      </c>
      <c r="B6" s="6" t="s">
        <v>121</v>
      </c>
      <c r="C6" s="6" t="s">
        <v>31</v>
      </c>
      <c r="D6" s="6" t="s">
        <v>32</v>
      </c>
      <c r="E6" s="1">
        <v>130000</v>
      </c>
      <c r="F6" s="1">
        <v>158000</v>
      </c>
    </row>
    <row r="7" spans="1:7" x14ac:dyDescent="0.25">
      <c r="A7" s="6">
        <v>2</v>
      </c>
      <c r="B7" s="6" t="s">
        <v>121</v>
      </c>
      <c r="C7" s="6">
        <v>163273</v>
      </c>
      <c r="D7" s="6" t="s">
        <v>33</v>
      </c>
      <c r="E7" s="1">
        <v>140000</v>
      </c>
      <c r="F7" s="1">
        <v>168000</v>
      </c>
    </row>
    <row r="8" spans="1:7" x14ac:dyDescent="0.25">
      <c r="A8" s="6">
        <v>1</v>
      </c>
      <c r="B8" s="6" t="s">
        <v>121</v>
      </c>
      <c r="C8" s="6" t="s">
        <v>34</v>
      </c>
      <c r="D8" s="6" t="s">
        <v>35</v>
      </c>
      <c r="E8" s="1">
        <v>130000</v>
      </c>
      <c r="F8" s="1">
        <v>158000</v>
      </c>
    </row>
    <row r="9" spans="1:7" x14ac:dyDescent="0.25">
      <c r="A9" s="6">
        <v>1</v>
      </c>
      <c r="B9" s="6" t="s">
        <v>121</v>
      </c>
      <c r="C9" s="6" t="s">
        <v>36</v>
      </c>
      <c r="D9" s="6" t="s">
        <v>37</v>
      </c>
      <c r="E9" s="1">
        <v>130000</v>
      </c>
      <c r="F9" s="1">
        <v>158000</v>
      </c>
    </row>
    <row r="10" spans="1:7" x14ac:dyDescent="0.25">
      <c r="A10" s="6">
        <v>2</v>
      </c>
      <c r="B10" s="6" t="s">
        <v>121</v>
      </c>
      <c r="C10" s="6" t="s">
        <v>38</v>
      </c>
      <c r="D10" s="6" t="s">
        <v>39</v>
      </c>
      <c r="E10" s="1">
        <v>140000</v>
      </c>
      <c r="F10" s="1">
        <v>168000</v>
      </c>
    </row>
    <row r="11" spans="1:7" x14ac:dyDescent="0.25">
      <c r="A11" s="6">
        <v>1</v>
      </c>
      <c r="B11" s="6" t="s">
        <v>121</v>
      </c>
      <c r="C11" s="6" t="s">
        <v>40</v>
      </c>
      <c r="D11" s="6" t="s">
        <v>41</v>
      </c>
      <c r="E11" s="1">
        <v>130000</v>
      </c>
      <c r="F11" s="1">
        <v>158000</v>
      </c>
    </row>
    <row r="12" spans="1:7" x14ac:dyDescent="0.25">
      <c r="A12" s="6">
        <v>2</v>
      </c>
      <c r="B12" s="6" t="s">
        <v>121</v>
      </c>
      <c r="C12" s="6" t="s">
        <v>42</v>
      </c>
      <c r="D12" s="6" t="s">
        <v>43</v>
      </c>
      <c r="E12" s="1">
        <v>140000</v>
      </c>
      <c r="F12" s="1">
        <v>168000</v>
      </c>
    </row>
    <row r="13" spans="1:7" x14ac:dyDescent="0.25">
      <c r="A13" s="7"/>
      <c r="B13" s="6" t="s">
        <v>122</v>
      </c>
      <c r="C13" s="6" t="s">
        <v>44</v>
      </c>
      <c r="D13" s="6" t="s">
        <v>45</v>
      </c>
    </row>
    <row r="14" spans="1:7" x14ac:dyDescent="0.25">
      <c r="A14" s="6">
        <v>4</v>
      </c>
      <c r="B14" s="6" t="s">
        <v>121</v>
      </c>
      <c r="C14" s="6">
        <v>96697378638</v>
      </c>
      <c r="D14" s="6" t="s">
        <v>46</v>
      </c>
      <c r="E14" s="1">
        <v>165000</v>
      </c>
      <c r="F14" s="1">
        <v>195000</v>
      </c>
    </row>
    <row r="15" spans="1:7" x14ac:dyDescent="0.25">
      <c r="A15" s="6">
        <v>1</v>
      </c>
      <c r="B15" s="6" t="s">
        <v>121</v>
      </c>
      <c r="C15" s="6" t="s">
        <v>47</v>
      </c>
      <c r="D15" s="6" t="s">
        <v>48</v>
      </c>
      <c r="E15" s="1">
        <v>130000</v>
      </c>
      <c r="F15" s="1">
        <v>158000</v>
      </c>
    </row>
    <row r="16" spans="1:7" x14ac:dyDescent="0.25">
      <c r="A16" s="6">
        <v>1</v>
      </c>
      <c r="B16" s="6" t="s">
        <v>121</v>
      </c>
      <c r="C16" s="6" t="s">
        <v>49</v>
      </c>
      <c r="D16" s="6" t="s">
        <v>50</v>
      </c>
      <c r="E16" s="1">
        <v>130000</v>
      </c>
      <c r="F16" s="1">
        <v>158000</v>
      </c>
    </row>
    <row r="17" spans="1:8" x14ac:dyDescent="0.25">
      <c r="A17" s="6">
        <v>3</v>
      </c>
      <c r="B17" s="6" t="s">
        <v>121</v>
      </c>
      <c r="C17" s="6">
        <v>4901131696</v>
      </c>
      <c r="D17" s="6" t="s">
        <v>51</v>
      </c>
      <c r="E17" s="1">
        <v>154000</v>
      </c>
      <c r="F17" s="1">
        <v>182000</v>
      </c>
      <c r="H17" s="1"/>
    </row>
    <row r="18" spans="1:8" ht="26.25" x14ac:dyDescent="0.25">
      <c r="A18" s="6" t="s">
        <v>130</v>
      </c>
      <c r="B18" s="6" t="s">
        <v>121</v>
      </c>
      <c r="C18" s="6" t="s">
        <v>52</v>
      </c>
      <c r="D18" s="6" t="s">
        <v>53</v>
      </c>
    </row>
    <row r="19" spans="1:8" x14ac:dyDescent="0.25">
      <c r="A19" s="6">
        <v>3</v>
      </c>
      <c r="B19" s="6" t="s">
        <v>121</v>
      </c>
      <c r="C19" s="6">
        <v>401118404</v>
      </c>
      <c r="D19" s="6" t="s">
        <v>54</v>
      </c>
      <c r="E19" s="1">
        <v>154000</v>
      </c>
      <c r="F19" s="1">
        <v>182000</v>
      </c>
    </row>
    <row r="20" spans="1:8" ht="26.25" x14ac:dyDescent="0.25">
      <c r="A20" s="6">
        <v>2</v>
      </c>
      <c r="B20" s="6" t="s">
        <v>121</v>
      </c>
      <c r="C20" s="6" t="s">
        <v>55</v>
      </c>
      <c r="D20" s="6" t="s">
        <v>56</v>
      </c>
      <c r="E20" s="1">
        <v>140000</v>
      </c>
      <c r="F20" s="1">
        <v>168000</v>
      </c>
    </row>
    <row r="21" spans="1:8" x14ac:dyDescent="0.25">
      <c r="A21" s="6">
        <v>3</v>
      </c>
      <c r="B21" s="6" t="s">
        <v>121</v>
      </c>
      <c r="C21" s="6" t="s">
        <v>57</v>
      </c>
      <c r="D21" s="6" t="s">
        <v>58</v>
      </c>
      <c r="E21" s="1">
        <v>154000</v>
      </c>
      <c r="F21" s="1">
        <v>182000</v>
      </c>
    </row>
    <row r="22" spans="1:8" x14ac:dyDescent="0.25">
      <c r="A22" s="6">
        <v>3</v>
      </c>
      <c r="B22" s="6" t="s">
        <v>121</v>
      </c>
      <c r="C22" s="6" t="s">
        <v>59</v>
      </c>
      <c r="D22" s="6" t="s">
        <v>60</v>
      </c>
      <c r="E22" s="1">
        <v>154000</v>
      </c>
      <c r="F22" s="1">
        <v>182000</v>
      </c>
    </row>
    <row r="23" spans="1:8" x14ac:dyDescent="0.25">
      <c r="A23" s="6">
        <v>2</v>
      </c>
      <c r="B23" s="6" t="s">
        <v>121</v>
      </c>
      <c r="C23" s="6" t="s">
        <v>61</v>
      </c>
      <c r="D23" s="6" t="s">
        <v>62</v>
      </c>
      <c r="E23" s="1">
        <v>140000</v>
      </c>
      <c r="F23" s="1">
        <v>168000</v>
      </c>
    </row>
    <row r="24" spans="1:8" ht="26.25" x14ac:dyDescent="0.25">
      <c r="A24" s="6" t="s">
        <v>64</v>
      </c>
      <c r="B24" s="6" t="s">
        <v>121</v>
      </c>
      <c r="C24" s="6" t="s">
        <v>63</v>
      </c>
      <c r="D24" s="6" t="s">
        <v>64</v>
      </c>
    </row>
    <row r="25" spans="1:8" x14ac:dyDescent="0.25">
      <c r="A25" s="6">
        <v>4</v>
      </c>
      <c r="B25" s="6" t="s">
        <v>121</v>
      </c>
      <c r="C25" s="6" t="s">
        <v>65</v>
      </c>
      <c r="D25" s="6" t="s">
        <v>66</v>
      </c>
      <c r="E25" s="1">
        <v>165000</v>
      </c>
      <c r="F25" s="1">
        <v>195000</v>
      </c>
    </row>
    <row r="26" spans="1:8" ht="26.25" x14ac:dyDescent="0.25">
      <c r="A26" s="6">
        <v>4</v>
      </c>
      <c r="B26" s="6" t="s">
        <v>121</v>
      </c>
      <c r="C26" s="6" t="s">
        <v>67</v>
      </c>
      <c r="D26" s="6" t="s">
        <v>68</v>
      </c>
      <c r="E26" s="1">
        <v>165000</v>
      </c>
      <c r="F26" s="1">
        <v>195000</v>
      </c>
    </row>
    <row r="27" spans="1:8" ht="26.25" x14ac:dyDescent="0.25">
      <c r="A27" s="6">
        <v>1</v>
      </c>
      <c r="B27" s="6" t="s">
        <v>121</v>
      </c>
      <c r="C27" s="6">
        <v>353682</v>
      </c>
      <c r="D27" s="6" t="s">
        <v>69</v>
      </c>
      <c r="E27" s="1">
        <v>130000</v>
      </c>
      <c r="F27" s="1">
        <v>158000</v>
      </c>
    </row>
    <row r="28" spans="1:8" x14ac:dyDescent="0.25">
      <c r="A28" s="7"/>
      <c r="B28" s="6" t="s">
        <v>121</v>
      </c>
      <c r="C28" s="6">
        <v>366726</v>
      </c>
      <c r="D28" s="6" t="s">
        <v>70</v>
      </c>
    </row>
    <row r="29" spans="1:8" ht="26.25" x14ac:dyDescent="0.25">
      <c r="A29" s="6">
        <v>1</v>
      </c>
      <c r="B29" s="6" t="s">
        <v>121</v>
      </c>
      <c r="C29" s="6" t="s">
        <v>71</v>
      </c>
      <c r="D29" s="6" t="s">
        <v>72</v>
      </c>
      <c r="E29" s="1">
        <v>130000</v>
      </c>
      <c r="F29" s="1">
        <v>158000</v>
      </c>
    </row>
    <row r="30" spans="1:8" x14ac:dyDescent="0.25">
      <c r="A30" s="6">
        <v>2</v>
      </c>
      <c r="B30" s="6" t="s">
        <v>121</v>
      </c>
      <c r="C30" s="6">
        <v>52706390907</v>
      </c>
      <c r="D30" s="6" t="s">
        <v>73</v>
      </c>
      <c r="E30" s="1">
        <v>140000</v>
      </c>
      <c r="F30" s="1">
        <v>168000</v>
      </c>
    </row>
    <row r="31" spans="1:8" x14ac:dyDescent="0.25">
      <c r="A31" s="7"/>
      <c r="B31" s="6" t="s">
        <v>121</v>
      </c>
      <c r="C31" s="6" t="s">
        <v>74</v>
      </c>
      <c r="D31" s="6" t="s">
        <v>75</v>
      </c>
    </row>
    <row r="32" spans="1:8" x14ac:dyDescent="0.25">
      <c r="A32" s="6">
        <v>1</v>
      </c>
      <c r="B32" s="6" t="s">
        <v>121</v>
      </c>
      <c r="C32" s="6" t="s">
        <v>76</v>
      </c>
      <c r="D32" s="6" t="s">
        <v>77</v>
      </c>
      <c r="E32" s="1">
        <v>130000</v>
      </c>
      <c r="F32" s="1">
        <v>158000</v>
      </c>
    </row>
    <row r="33" spans="1:6" x14ac:dyDescent="0.25">
      <c r="A33" s="6">
        <v>1</v>
      </c>
      <c r="B33" s="6" t="s">
        <v>121</v>
      </c>
      <c r="C33" s="6">
        <v>62349712</v>
      </c>
      <c r="D33" s="6" t="s">
        <v>78</v>
      </c>
      <c r="E33" s="1">
        <v>130000</v>
      </c>
      <c r="F33" s="1">
        <v>158000</v>
      </c>
    </row>
    <row r="34" spans="1:6" x14ac:dyDescent="0.25">
      <c r="A34" s="6">
        <v>2</v>
      </c>
      <c r="B34" s="6" t="s">
        <v>121</v>
      </c>
      <c r="C34" s="6">
        <v>163257</v>
      </c>
      <c r="D34" s="6" t="s">
        <v>79</v>
      </c>
      <c r="E34" s="1">
        <v>140000</v>
      </c>
      <c r="F34" s="1">
        <v>168000</v>
      </c>
    </row>
    <row r="35" spans="1:6" x14ac:dyDescent="0.25">
      <c r="A35" s="6">
        <v>1</v>
      </c>
      <c r="B35" s="6" t="s">
        <v>121</v>
      </c>
      <c r="C35" s="6">
        <v>316200</v>
      </c>
      <c r="D35" s="6" t="s">
        <v>80</v>
      </c>
      <c r="E35" s="1">
        <v>130000</v>
      </c>
      <c r="F35" s="1">
        <v>158000</v>
      </c>
    </row>
    <row r="36" spans="1:6" x14ac:dyDescent="0.25">
      <c r="A36" s="7"/>
      <c r="B36" s="6" t="s">
        <v>121</v>
      </c>
      <c r="C36" s="6" t="s">
        <v>81</v>
      </c>
      <c r="D36" s="6" t="s">
        <v>82</v>
      </c>
    </row>
    <row r="37" spans="1:6" ht="26.25" x14ac:dyDescent="0.25">
      <c r="A37" s="6">
        <v>1</v>
      </c>
      <c r="B37" s="6" t="s">
        <v>121</v>
      </c>
      <c r="C37" s="6">
        <v>886993675</v>
      </c>
      <c r="D37" s="6" t="s">
        <v>83</v>
      </c>
      <c r="E37" s="1">
        <v>130000</v>
      </c>
      <c r="F37" s="1">
        <v>158000</v>
      </c>
    </row>
    <row r="38" spans="1:6" x14ac:dyDescent="0.25">
      <c r="A38" s="6">
        <v>3</v>
      </c>
      <c r="B38" s="6" t="s">
        <v>121</v>
      </c>
      <c r="C38" s="6">
        <v>7788953028</v>
      </c>
      <c r="D38" s="6" t="s">
        <v>84</v>
      </c>
      <c r="E38" s="1">
        <v>154000</v>
      </c>
      <c r="F38" s="1">
        <v>182000</v>
      </c>
    </row>
    <row r="39" spans="1:6" ht="26.25" x14ac:dyDescent="0.25">
      <c r="A39" s="6">
        <v>1</v>
      </c>
      <c r="B39" s="6" t="s">
        <v>121</v>
      </c>
      <c r="C39" s="6">
        <v>214030</v>
      </c>
      <c r="D39" s="6" t="s">
        <v>85</v>
      </c>
      <c r="E39" s="1">
        <v>130000</v>
      </c>
      <c r="F39" s="1">
        <v>158000</v>
      </c>
    </row>
    <row r="40" spans="1:6" x14ac:dyDescent="0.25">
      <c r="A40" s="6">
        <v>2</v>
      </c>
      <c r="B40" s="6" t="s">
        <v>121</v>
      </c>
      <c r="C40" s="6" t="s">
        <v>86</v>
      </c>
      <c r="D40" s="6" t="s">
        <v>87</v>
      </c>
      <c r="E40" s="1">
        <v>140000</v>
      </c>
      <c r="F40" s="1">
        <v>168000</v>
      </c>
    </row>
    <row r="41" spans="1:6" x14ac:dyDescent="0.25">
      <c r="A41" s="6">
        <v>3</v>
      </c>
      <c r="B41" s="6" t="s">
        <v>121</v>
      </c>
      <c r="C41" s="6">
        <v>6704132905</v>
      </c>
      <c r="D41" s="6" t="s">
        <v>88</v>
      </c>
      <c r="E41" s="1">
        <v>154000</v>
      </c>
      <c r="F41" s="1">
        <v>182000</v>
      </c>
    </row>
    <row r="42" spans="1:6" x14ac:dyDescent="0.25">
      <c r="A42" s="6">
        <v>1</v>
      </c>
      <c r="B42" s="6" t="s">
        <v>121</v>
      </c>
      <c r="C42" s="6">
        <v>91401</v>
      </c>
      <c r="D42" s="6" t="s">
        <v>89</v>
      </c>
      <c r="E42" s="1">
        <v>130000</v>
      </c>
      <c r="F42" s="1">
        <v>158000</v>
      </c>
    </row>
    <row r="43" spans="1:6" x14ac:dyDescent="0.25">
      <c r="A43" s="6">
        <v>1</v>
      </c>
      <c r="B43" s="6" t="s">
        <v>121</v>
      </c>
      <c r="C43" s="6">
        <v>91402</v>
      </c>
      <c r="D43" s="6" t="s">
        <v>90</v>
      </c>
      <c r="E43" s="1">
        <v>130000</v>
      </c>
      <c r="F43" s="1">
        <v>158000</v>
      </c>
    </row>
    <row r="44" spans="1:6" x14ac:dyDescent="0.25">
      <c r="A44" s="6">
        <v>1</v>
      </c>
      <c r="B44" s="6" t="s">
        <v>121</v>
      </c>
      <c r="C44" s="6">
        <v>91404</v>
      </c>
      <c r="D44" s="6" t="s">
        <v>91</v>
      </c>
      <c r="E44" s="1">
        <v>130000</v>
      </c>
      <c r="F44" s="1">
        <v>158000</v>
      </c>
    </row>
    <row r="45" spans="1:6" x14ac:dyDescent="0.25">
      <c r="A45" s="6">
        <v>4</v>
      </c>
      <c r="B45" s="6" t="s">
        <v>121</v>
      </c>
      <c r="C45" s="6">
        <v>5503286775</v>
      </c>
      <c r="D45" s="6" t="s">
        <v>92</v>
      </c>
      <c r="E45" s="1">
        <v>165000</v>
      </c>
      <c r="F45" s="1">
        <v>195000</v>
      </c>
    </row>
    <row r="46" spans="1:6" x14ac:dyDescent="0.25">
      <c r="A46" s="6">
        <v>3</v>
      </c>
      <c r="B46" s="6" t="s">
        <v>121</v>
      </c>
      <c r="C46" s="6" t="s">
        <v>93</v>
      </c>
      <c r="D46" s="6" t="s">
        <v>94</v>
      </c>
      <c r="E46" s="1">
        <v>154000</v>
      </c>
      <c r="F46" s="1">
        <v>182000</v>
      </c>
    </row>
    <row r="47" spans="1:6" x14ac:dyDescent="0.25">
      <c r="A47" s="6">
        <v>3</v>
      </c>
      <c r="B47" s="6" t="s">
        <v>121</v>
      </c>
      <c r="C47" s="6">
        <v>1568056459</v>
      </c>
      <c r="D47" s="6" t="s">
        <v>95</v>
      </c>
      <c r="E47" s="1">
        <v>154000</v>
      </c>
      <c r="F47" s="1">
        <v>182000</v>
      </c>
    </row>
    <row r="48" spans="1:6" x14ac:dyDescent="0.25">
      <c r="A48" s="6">
        <v>2</v>
      </c>
      <c r="B48" s="6" t="s">
        <v>121</v>
      </c>
      <c r="C48" s="6" t="s">
        <v>96</v>
      </c>
      <c r="D48" s="6" t="s">
        <v>97</v>
      </c>
      <c r="E48" s="1">
        <v>140000</v>
      </c>
      <c r="F48" s="1">
        <v>168000</v>
      </c>
    </row>
    <row r="49" spans="1:6" ht="26.25" x14ac:dyDescent="0.25">
      <c r="A49" s="6">
        <v>2</v>
      </c>
      <c r="B49" s="6" t="s">
        <v>121</v>
      </c>
      <c r="C49" s="6" t="s">
        <v>98</v>
      </c>
      <c r="D49" s="6" t="s">
        <v>99</v>
      </c>
      <c r="E49" s="1">
        <v>140000</v>
      </c>
      <c r="F49" s="1">
        <v>168000</v>
      </c>
    </row>
    <row r="50" spans="1:6" x14ac:dyDescent="0.25">
      <c r="A50" s="6">
        <v>3</v>
      </c>
      <c r="B50" s="6" t="s">
        <v>121</v>
      </c>
      <c r="C50" s="6">
        <v>89644</v>
      </c>
      <c r="D50" s="6" t="s">
        <v>100</v>
      </c>
      <c r="E50" s="1">
        <v>154000</v>
      </c>
      <c r="F50" s="1">
        <v>182000</v>
      </c>
    </row>
    <row r="51" spans="1:6" x14ac:dyDescent="0.25">
      <c r="A51" s="6" t="s">
        <v>131</v>
      </c>
      <c r="B51" s="6" t="s">
        <v>121</v>
      </c>
      <c r="C51" s="6" t="s">
        <v>101</v>
      </c>
      <c r="D51" s="6" t="s">
        <v>102</v>
      </c>
      <c r="E51" s="1">
        <v>273000</v>
      </c>
      <c r="F51" s="1">
        <v>295000</v>
      </c>
    </row>
    <row r="52" spans="1:6" x14ac:dyDescent="0.25">
      <c r="A52" s="6">
        <v>3</v>
      </c>
      <c r="B52" s="6" t="s">
        <v>121</v>
      </c>
      <c r="C52" s="6">
        <v>89698</v>
      </c>
      <c r="D52" s="6" t="s">
        <v>103</v>
      </c>
      <c r="E52" s="1">
        <v>154000</v>
      </c>
      <c r="F52" s="1">
        <v>182000</v>
      </c>
    </row>
    <row r="53" spans="1:6" x14ac:dyDescent="0.25">
      <c r="A53" s="6">
        <v>3</v>
      </c>
      <c r="B53" s="6" t="s">
        <v>121</v>
      </c>
      <c r="C53" s="6">
        <v>89695</v>
      </c>
      <c r="D53" s="6" t="s">
        <v>104</v>
      </c>
      <c r="E53" s="1">
        <v>154000</v>
      </c>
      <c r="F53" s="1">
        <v>182000</v>
      </c>
    </row>
    <row r="54" spans="1:6" x14ac:dyDescent="0.25">
      <c r="A54" s="6">
        <v>3</v>
      </c>
      <c r="B54" s="6" t="s">
        <v>121</v>
      </c>
      <c r="C54" s="6" t="s">
        <v>105</v>
      </c>
      <c r="D54" s="6" t="s">
        <v>106</v>
      </c>
      <c r="E54" s="1">
        <v>154000</v>
      </c>
      <c r="F54" s="1">
        <v>182000</v>
      </c>
    </row>
    <row r="55" spans="1:6" x14ac:dyDescent="0.25">
      <c r="A55" s="6">
        <v>3</v>
      </c>
      <c r="B55" s="6" t="s">
        <v>121</v>
      </c>
      <c r="C55" s="6">
        <v>89691</v>
      </c>
      <c r="D55" s="6" t="s">
        <v>107</v>
      </c>
      <c r="E55" s="1">
        <v>154000</v>
      </c>
      <c r="F55" s="1">
        <v>182000</v>
      </c>
    </row>
    <row r="56" spans="1:6" x14ac:dyDescent="0.25">
      <c r="A56" s="6">
        <v>3</v>
      </c>
      <c r="B56" s="6" t="s">
        <v>121</v>
      </c>
      <c r="C56" s="6">
        <v>89697</v>
      </c>
      <c r="D56" s="6" t="s">
        <v>108</v>
      </c>
      <c r="E56" s="1">
        <v>154000</v>
      </c>
      <c r="F56" s="1">
        <v>182000</v>
      </c>
    </row>
    <row r="57" spans="1:6" x14ac:dyDescent="0.25">
      <c r="A57" s="6">
        <v>3</v>
      </c>
      <c r="B57" s="6" t="s">
        <v>121</v>
      </c>
      <c r="C57" s="6">
        <v>89696</v>
      </c>
      <c r="D57" s="6" t="s">
        <v>109</v>
      </c>
      <c r="E57" s="1">
        <v>154000</v>
      </c>
      <c r="F57" s="1">
        <v>182000</v>
      </c>
    </row>
    <row r="58" spans="1:6" x14ac:dyDescent="0.25">
      <c r="A58" s="6">
        <v>3</v>
      </c>
      <c r="B58" s="6" t="s">
        <v>121</v>
      </c>
      <c r="C58" s="6">
        <v>89692</v>
      </c>
      <c r="D58" s="6" t="s">
        <v>110</v>
      </c>
      <c r="E58" s="1">
        <v>154000</v>
      </c>
      <c r="F58" s="1">
        <v>182000</v>
      </c>
    </row>
    <row r="59" spans="1:6" x14ac:dyDescent="0.25">
      <c r="A59" s="6">
        <v>3</v>
      </c>
      <c r="B59" s="6" t="s">
        <v>121</v>
      </c>
      <c r="C59" s="6">
        <v>89693</v>
      </c>
      <c r="D59" s="6" t="s">
        <v>111</v>
      </c>
      <c r="E59" s="1">
        <v>154000</v>
      </c>
      <c r="F59" s="1">
        <v>182000</v>
      </c>
    </row>
    <row r="60" spans="1:6" x14ac:dyDescent="0.25">
      <c r="A60" s="7"/>
      <c r="B60" s="6" t="s">
        <v>121</v>
      </c>
      <c r="C60" s="6" t="s">
        <v>112</v>
      </c>
      <c r="D60" s="6" t="s">
        <v>113</v>
      </c>
    </row>
    <row r="61" spans="1:6" x14ac:dyDescent="0.25">
      <c r="A61" s="7"/>
      <c r="B61" s="6" t="s">
        <v>122</v>
      </c>
      <c r="C61" s="6" t="s">
        <v>114</v>
      </c>
      <c r="D61" s="6" t="s">
        <v>115</v>
      </c>
    </row>
    <row r="62" spans="1:6" x14ac:dyDescent="0.25">
      <c r="A62" s="6">
        <v>4</v>
      </c>
      <c r="B62" s="6" t="s">
        <v>121</v>
      </c>
      <c r="C62" s="6" t="s">
        <v>116</v>
      </c>
      <c r="D62" s="6" t="s">
        <v>117</v>
      </c>
      <c r="E62" s="1">
        <v>165000</v>
      </c>
      <c r="F62" s="1">
        <v>195000</v>
      </c>
    </row>
    <row r="63" spans="1:6" x14ac:dyDescent="0.25">
      <c r="A63" s="6">
        <v>1</v>
      </c>
      <c r="B63" s="6" t="s">
        <v>121</v>
      </c>
      <c r="C63" s="6" t="s">
        <v>118</v>
      </c>
      <c r="D63" s="6" t="s">
        <v>119</v>
      </c>
      <c r="E63" s="1">
        <v>130000</v>
      </c>
      <c r="F63" s="1">
        <v>158000</v>
      </c>
    </row>
    <row r="66" spans="1:1" x14ac:dyDescent="0.25">
      <c r="A66" t="s">
        <v>137</v>
      </c>
    </row>
  </sheetData>
  <autoFilter ref="A5:F63" xr:uid="{5E1BEBD4-A955-4D69-8776-49937324339E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8766D-BA19-47C1-A47D-CB92887CB367}">
  <dimension ref="A4:C16"/>
  <sheetViews>
    <sheetView topLeftCell="A4" workbookViewId="0">
      <selection activeCell="C16" sqref="C16"/>
    </sheetView>
  </sheetViews>
  <sheetFormatPr baseColWidth="10" defaultRowHeight="15" x14ac:dyDescent="0.25"/>
  <cols>
    <col min="1" max="1" width="30.42578125" bestFit="1" customWidth="1"/>
  </cols>
  <sheetData>
    <row r="4" spans="1:3" x14ac:dyDescent="0.25">
      <c r="A4" t="s">
        <v>154</v>
      </c>
    </row>
    <row r="6" spans="1:3" ht="18.75" x14ac:dyDescent="0.3">
      <c r="A6" s="13" t="s">
        <v>151</v>
      </c>
    </row>
    <row r="7" spans="1:3" x14ac:dyDescent="0.25">
      <c r="A7" t="s">
        <v>155</v>
      </c>
      <c r="B7">
        <v>184000</v>
      </c>
    </row>
    <row r="8" spans="1:3" x14ac:dyDescent="0.25">
      <c r="A8" t="s">
        <v>156</v>
      </c>
      <c r="B8">
        <v>210000</v>
      </c>
      <c r="C8">
        <f>B8-B7</f>
        <v>26000</v>
      </c>
    </row>
    <row r="10" spans="1:3" ht="18.75" x14ac:dyDescent="0.3">
      <c r="A10" s="14" t="s">
        <v>152</v>
      </c>
    </row>
    <row r="11" spans="1:3" x14ac:dyDescent="0.25">
      <c r="A11" t="s">
        <v>155</v>
      </c>
      <c r="B11">
        <v>164000</v>
      </c>
    </row>
    <row r="12" spans="1:3" x14ac:dyDescent="0.25">
      <c r="A12" t="s">
        <v>156</v>
      </c>
      <c r="B12">
        <v>190000</v>
      </c>
      <c r="C12">
        <f>B12-B11</f>
        <v>26000</v>
      </c>
    </row>
    <row r="14" spans="1:3" ht="18.75" x14ac:dyDescent="0.3">
      <c r="A14" s="14" t="s">
        <v>153</v>
      </c>
    </row>
    <row r="15" spans="1:3" x14ac:dyDescent="0.25">
      <c r="A15" t="s">
        <v>155</v>
      </c>
      <c r="B15">
        <v>134000</v>
      </c>
    </row>
    <row r="16" spans="1:3" x14ac:dyDescent="0.25">
      <c r="A16" t="s">
        <v>156</v>
      </c>
      <c r="B16">
        <v>160000</v>
      </c>
      <c r="C16">
        <f>B16-B15</f>
        <v>26000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1D762-161B-4C8C-90D7-C647C92CFEE7}">
  <dimension ref="A1:A6"/>
  <sheetViews>
    <sheetView workbookViewId="0">
      <selection activeCell="B23" sqref="B23"/>
    </sheetView>
  </sheetViews>
  <sheetFormatPr baseColWidth="10" defaultRowHeight="15" x14ac:dyDescent="0.25"/>
  <sheetData>
    <row r="1" spans="1:1" x14ac:dyDescent="0.25">
      <c r="A1" t="s">
        <v>157</v>
      </c>
    </row>
    <row r="4" spans="1:1" x14ac:dyDescent="0.25">
      <c r="A4" t="s">
        <v>158</v>
      </c>
    </row>
    <row r="5" spans="1:1" x14ac:dyDescent="0.25">
      <c r="A5" t="s">
        <v>159</v>
      </c>
    </row>
    <row r="6" spans="1:1" x14ac:dyDescent="0.25">
      <c r="A6" t="s">
        <v>160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1B18A-BEE6-4E5C-9054-E85184857AC1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GENERAL</vt:lpstr>
      <vt:lpstr>PCUADROS</vt:lpstr>
      <vt:lpstr>CAJAS ACRILICAS</vt:lpstr>
      <vt:lpstr>SETS ARMABLES</vt:lpstr>
      <vt:lpstr>MINI MOMENTOS</vt:lpstr>
      <vt:lpstr>MINI BOX</vt:lpstr>
      <vt:lpstr>VARIOS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2026-05-22T05:42:52Z</dcterms:created>
  <dcterms:modified xsi:type="dcterms:W3CDTF">2026-10-05T22:12:26Z</dcterms:modified>
</cp:coreProperties>
</file>